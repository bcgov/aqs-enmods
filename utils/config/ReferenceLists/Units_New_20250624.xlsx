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gov-my.sharepoint.com/personal/sahil_bhandari_gov_bc_ca/Documents/teamdocs/GitHub/aqs-enmods/utils/config/ReferenceLists/"/>
    </mc:Choice>
  </mc:AlternateContent>
  <xr:revisionPtr revIDLastSave="416" documentId="8_{453A4AD2-9D56-4679-9E4F-DF540DC0343F}" xr6:coauthVersionLast="47" xr6:coauthVersionMax="47" xr10:uidLastSave="{F1E259D6-6ABE-405D-A1D7-40F9E7263521}"/>
  <bookViews>
    <workbookView xWindow="-110" yWindow="-110" windowWidth="19420" windowHeight="11620" xr2:uid="{00000000-000D-0000-FFFF-FFFF00000000}"/>
  </bookViews>
  <sheets>
    <sheet name="Units" sheetId="1" r:id="rId1"/>
  </sheets>
  <definedNames>
    <definedName name="_xlnm._FilterDatabase" localSheetId="0" hidden="1">Units!$A$1:$Q$29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4" i="1" l="1"/>
  <c r="P22" i="1"/>
  <c r="P14" i="1"/>
  <c r="P18" i="1"/>
  <c r="P23" i="1"/>
  <c r="P15" i="1"/>
  <c r="P4" i="1"/>
  <c r="P3" i="1"/>
  <c r="P2" i="1"/>
</calcChain>
</file>

<file path=xl/sharedStrings.xml><?xml version="1.0" encoding="utf-8"?>
<sst xmlns="http://schemas.openxmlformats.org/spreadsheetml/2006/main" count="257" uniqueCount="133">
  <si>
    <t>code</t>
  </si>
  <si>
    <t>sample_unit_customid</t>
  </si>
  <si>
    <t>sample_unit_name</t>
  </si>
  <si>
    <t>sample_unit_short_name</t>
  </si>
  <si>
    <t>sample_unit_group</t>
  </si>
  <si>
    <t>sample_unit_modifier</t>
  </si>
  <si>
    <t>results</t>
  </si>
  <si>
    <t>base unit</t>
  </si>
  <si>
    <t>offset</t>
  </si>
  <si>
    <t>convertible</t>
  </si>
  <si>
    <t>short_name</t>
  </si>
  <si>
    <t>description</t>
  </si>
  <si>
    <t>active_ind</t>
  </si>
  <si>
    <t>meas_unit_cd</t>
  </si>
  <si>
    <t>base unit aqs</t>
  </si>
  <si>
    <t>conversion_factor</t>
  </si>
  <si>
    <t>sample_unit_groupid</t>
  </si>
  <si>
    <t>(mass)</t>
  </si>
  <si>
    <t>Mass</t>
  </si>
  <si>
    <t>0</t>
  </si>
  <si>
    <t>(vol.)</t>
  </si>
  <si>
    <t>Volume</t>
  </si>
  <si>
    <t>(len.)</t>
  </si>
  <si>
    <t>SYS-REQUIRED - Length</t>
  </si>
  <si>
    <t>FALSE</t>
  </si>
  <si>
    <t>Y</t>
  </si>
  <si>
    <t>(area)</t>
  </si>
  <si>
    <t>Area</t>
  </si>
  <si>
    <t>mg/L</t>
  </si>
  <si>
    <t>(fl. conc.)</t>
  </si>
  <si>
    <t>Concentration</t>
  </si>
  <si>
    <t>(mass/area)</t>
  </si>
  <si>
    <t>MassPerArea</t>
  </si>
  <si>
    <t>g/m2</t>
  </si>
  <si>
    <t>(mass flux)</t>
  </si>
  <si>
    <t>MassFlux</t>
  </si>
  <si>
    <t>mg/dm2/d</t>
  </si>
  <si>
    <t>L</t>
  </si>
  <si>
    <t>Kilograms per cubic metre</t>
  </si>
  <si>
    <t>kg/m3</t>
  </si>
  <si>
    <t>(microb.)</t>
  </si>
  <si>
    <t>MicrobialFormation</t>
  </si>
  <si>
    <t>(elec. cond.)</t>
  </si>
  <si>
    <t>ElectricConductivity</t>
  </si>
  <si>
    <t>uS/cm</t>
  </si>
  <si>
    <t>m</t>
  </si>
  <si>
    <t>(flow)</t>
  </si>
  <si>
    <t>Flow</t>
  </si>
  <si>
    <t>m3/d</t>
  </si>
  <si>
    <t>mg</t>
  </si>
  <si>
    <t>t/d</t>
  </si>
  <si>
    <t>(mass flow)</t>
  </si>
  <si>
    <t>MassFlow</t>
  </si>
  <si>
    <t>m/s</t>
  </si>
  <si>
    <t>(vel.)</t>
  </si>
  <si>
    <t>LinearVelocity</t>
  </si>
  <si>
    <t>mV</t>
  </si>
  <si>
    <t>(elec. pot.)</t>
  </si>
  <si>
    <t>ElectricPotential</t>
  </si>
  <si>
    <t>(time)</t>
  </si>
  <si>
    <t>Time</t>
  </si>
  <si>
    <t>h</t>
  </si>
  <si>
    <t>CFU/g</t>
  </si>
  <si>
    <t>Colony Forming Units per gram</t>
  </si>
  <si>
    <t>cm3</t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</si>
  <si>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</si>
  <si>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t>Cubic centimetres</t>
  </si>
  <si>
    <t>ft/s</t>
  </si>
  <si>
    <t>Feet per second</t>
  </si>
  <si>
    <t>ft2</t>
  </si>
  <si>
    <t>ft3</t>
  </si>
  <si>
    <t>ft3/d</t>
  </si>
  <si>
    <r>
      <t>ft</t>
    </r>
    <r>
      <rPr>
        <vertAlign val="superscript"/>
        <sz val="11"/>
        <color theme="1"/>
        <rFont val="Calibri"/>
        <family val="2"/>
        <scheme val="minor"/>
      </rPr>
      <t>2</t>
    </r>
  </si>
  <si>
    <r>
      <t>ft</t>
    </r>
    <r>
      <rPr>
        <vertAlign val="superscript"/>
        <sz val="11"/>
        <color theme="1"/>
        <rFont val="Calibri"/>
        <family val="2"/>
        <scheme val="minor"/>
      </rPr>
      <t>3</t>
    </r>
  </si>
  <si>
    <r>
      <t>ft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/d</t>
    </r>
  </si>
  <si>
    <t>Square feet</t>
  </si>
  <si>
    <t>Cubic feet</t>
  </si>
  <si>
    <t>Cubic feet per day</t>
  </si>
  <si>
    <t>ha</t>
  </si>
  <si>
    <t>m2</t>
  </si>
  <si>
    <t>g/cm3</t>
  </si>
  <si>
    <r>
      <t>g/cm</t>
    </r>
    <r>
      <rPr>
        <vertAlign val="superscript"/>
        <sz val="11"/>
        <color theme="1"/>
        <rFont val="Calibri"/>
        <family val="2"/>
        <scheme val="minor"/>
      </rPr>
      <t>3</t>
    </r>
  </si>
  <si>
    <t>Grams per cubic centimetre</t>
  </si>
  <si>
    <t>Density</t>
  </si>
  <si>
    <r>
      <t>kg/m</t>
    </r>
    <r>
      <rPr>
        <vertAlign val="superscript"/>
        <sz val="11"/>
        <color theme="1"/>
        <rFont val="Calibri"/>
        <family val="2"/>
        <scheme val="minor"/>
      </rPr>
      <t>3</t>
    </r>
  </si>
  <si>
    <t>(density)</t>
  </si>
  <si>
    <t>Power</t>
  </si>
  <si>
    <t>Current</t>
  </si>
  <si>
    <t>(power)</t>
  </si>
  <si>
    <t>(current)</t>
  </si>
  <si>
    <t>mA</t>
  </si>
  <si>
    <t>MW</t>
  </si>
  <si>
    <t>milliamps</t>
  </si>
  <si>
    <t>g/s</t>
  </si>
  <si>
    <t>Grams per second</t>
  </si>
  <si>
    <t>kg</t>
  </si>
  <si>
    <t>Kilograms</t>
  </si>
  <si>
    <t>kg/h</t>
  </si>
  <si>
    <t>Kilograms per hour</t>
  </si>
  <si>
    <t>kg/L</t>
  </si>
  <si>
    <t>Kilograms per litre</t>
  </si>
  <si>
    <t>km</t>
  </si>
  <si>
    <t>Kilometres</t>
  </si>
  <si>
    <t>kmh</t>
  </si>
  <si>
    <t>Kilometres per hour</t>
  </si>
  <si>
    <t>mg/cm2</t>
  </si>
  <si>
    <r>
      <t>mg/cm</t>
    </r>
    <r>
      <rPr>
        <vertAlign val="superscript"/>
        <sz val="11"/>
        <color theme="1"/>
        <rFont val="Calibri"/>
        <family val="2"/>
        <scheme val="minor"/>
      </rPr>
      <t>2</t>
    </r>
  </si>
  <si>
    <t>Milligrams per square centimetre</t>
  </si>
  <si>
    <t>mg/cm²/d</t>
  </si>
  <si>
    <t>Milligrams per centimetre squared per day</t>
  </si>
  <si>
    <t>mg/cm²/month</t>
  </si>
  <si>
    <t>mg/cm2/d</t>
  </si>
  <si>
    <t>mg/cm2/month</t>
  </si>
  <si>
    <t>Milligrams per centimetre squared per month</t>
  </si>
  <si>
    <t>month</t>
  </si>
  <si>
    <t>minute</t>
  </si>
  <si>
    <t>Months</t>
  </si>
  <si>
    <t>Minutes</t>
  </si>
  <si>
    <t>min</t>
  </si>
  <si>
    <t>nm</t>
  </si>
  <si>
    <t>Nanometres</t>
  </si>
  <si>
    <t>Megawatts</t>
  </si>
  <si>
    <t>Hectares</t>
  </si>
  <si>
    <t>pg</t>
  </si>
  <si>
    <t>Picograms</t>
  </si>
  <si>
    <t>Siemens per centimetre</t>
  </si>
  <si>
    <t>S/cm</t>
  </si>
  <si>
    <t>Ton</t>
  </si>
  <si>
    <t>Tons</t>
  </si>
  <si>
    <t>USG</t>
  </si>
  <si>
    <t>US gallons</t>
  </si>
  <si>
    <t>V</t>
  </si>
  <si>
    <t>Volts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</si>
</sst>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"/>
  <sheetViews>
    <sheetView tabSelected="1" topLeftCell="A19" workbookViewId="0">
      <selection activeCell="A30" sqref="A30:XFD157"/>
    </sheetView>
  </sheetViews>
  <sheetFormatPr defaultColWidth="10.90625" defaultRowHeight="14.5" x14ac:dyDescent="0.35"/>
  <cols>
    <col min="3" max="3" width="27.90625" customWidth="1"/>
    <col min="7" max="7" width="11.81640625" bestFit="1" customWidth="1"/>
    <col min="9" max="10" width="11" bestFit="1" customWidth="1"/>
    <col min="16" max="16" width="11.81640625" bestFit="1" customWidth="1"/>
    <col min="17" max="17" width="18.7265625" customWidth="1"/>
  </cols>
  <sheetData>
    <row r="1" spans="1:17" s="1" customFormat="1" ht="15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s="1" customFormat="1" ht="15.5" customHeight="1" x14ac:dyDescent="0.35">
      <c r="B2" s="1" t="s">
        <v>72</v>
      </c>
      <c r="C2" s="1" t="s">
        <v>75</v>
      </c>
      <c r="D2" s="1" t="s">
        <v>26</v>
      </c>
      <c r="E2" s="1" t="s">
        <v>27</v>
      </c>
      <c r="F2" s="1">
        <v>0</v>
      </c>
      <c r="G2" s="1">
        <v>0</v>
      </c>
      <c r="H2" s="1" t="b">
        <v>0</v>
      </c>
      <c r="I2" s="1">
        <v>0</v>
      </c>
      <c r="J2" s="1" t="b">
        <v>1</v>
      </c>
      <c r="K2" s="1" t="s">
        <v>69</v>
      </c>
      <c r="L2" s="1" t="s">
        <v>75</v>
      </c>
      <c r="M2" s="1" t="s">
        <v>25</v>
      </c>
      <c r="O2" s="1" t="s">
        <v>79</v>
      </c>
      <c r="P2" s="1">
        <f>POWER(0.30480370641307, 2)</f>
        <v>9.2905299443144948E-2</v>
      </c>
    </row>
    <row r="3" spans="1:17" s="1" customFormat="1" ht="15.5" customHeight="1" x14ac:dyDescent="0.35">
      <c r="B3" s="1" t="s">
        <v>73</v>
      </c>
      <c r="C3" s="1" t="s">
        <v>76</v>
      </c>
      <c r="D3" s="1" t="s">
        <v>20</v>
      </c>
      <c r="E3" s="1" t="s">
        <v>21</v>
      </c>
      <c r="F3" s="1">
        <v>0</v>
      </c>
      <c r="G3" s="1">
        <v>0</v>
      </c>
      <c r="H3" s="1" t="b">
        <v>0</v>
      </c>
      <c r="I3" s="1">
        <v>0</v>
      </c>
      <c r="J3" s="1" t="b">
        <v>1</v>
      </c>
      <c r="K3" s="1" t="s">
        <v>70</v>
      </c>
      <c r="L3" s="1" t="s">
        <v>76</v>
      </c>
      <c r="M3" s="1" t="s">
        <v>25</v>
      </c>
      <c r="O3" s="1" t="s">
        <v>37</v>
      </c>
      <c r="P3" s="1">
        <f>POWER(0.30480370641307, 3)*1000</f>
        <v>28.317879615686707</v>
      </c>
    </row>
    <row r="4" spans="1:17" s="1" customFormat="1" ht="15.5" customHeight="1" x14ac:dyDescent="0.35">
      <c r="B4" s="1" t="s">
        <v>74</v>
      </c>
      <c r="C4" s="1" t="s">
        <v>77</v>
      </c>
      <c r="D4" s="1" t="s">
        <v>46</v>
      </c>
      <c r="E4" s="1" t="s">
        <v>47</v>
      </c>
      <c r="F4" s="1">
        <v>0</v>
      </c>
      <c r="G4" s="1">
        <v>0</v>
      </c>
      <c r="H4" s="1" t="b">
        <v>0</v>
      </c>
      <c r="I4" s="1">
        <v>0</v>
      </c>
      <c r="J4" s="1" t="b">
        <v>1</v>
      </c>
      <c r="K4" s="1" t="s">
        <v>71</v>
      </c>
      <c r="L4" s="1" t="s">
        <v>77</v>
      </c>
      <c r="M4" s="1" t="s">
        <v>25</v>
      </c>
      <c r="O4" s="1" t="s">
        <v>48</v>
      </c>
      <c r="P4" s="1">
        <f>POWER(0.30480370641307, 3)</f>
        <v>2.8317879615686707E-2</v>
      </c>
    </row>
    <row r="5" spans="1:17" s="1" customFormat="1" ht="15.5" customHeight="1" x14ac:dyDescent="0.35">
      <c r="B5" s="1" t="s">
        <v>67</v>
      </c>
      <c r="C5" s="1" t="s">
        <v>68</v>
      </c>
      <c r="D5" s="1" t="s">
        <v>54</v>
      </c>
      <c r="E5" s="1" t="s">
        <v>55</v>
      </c>
      <c r="F5" s="1">
        <v>0</v>
      </c>
      <c r="G5" s="1">
        <v>0</v>
      </c>
      <c r="H5" s="1" t="b">
        <v>0</v>
      </c>
      <c r="I5" s="1">
        <v>0</v>
      </c>
      <c r="J5" s="1" t="b">
        <v>1</v>
      </c>
      <c r="K5" s="1" t="s">
        <v>67</v>
      </c>
      <c r="L5" s="1" t="s">
        <v>68</v>
      </c>
      <c r="M5" s="1" t="s">
        <v>25</v>
      </c>
      <c r="O5" s="1" t="s">
        <v>53</v>
      </c>
      <c r="P5" s="1">
        <v>0.30480370641306997</v>
      </c>
    </row>
    <row r="6" spans="1:17" s="1" customFormat="1" ht="15.5" customHeight="1" x14ac:dyDescent="0.35">
      <c r="B6" s="1" t="s">
        <v>65</v>
      </c>
      <c r="C6" s="1" t="s">
        <v>66</v>
      </c>
      <c r="D6" s="1" t="s">
        <v>20</v>
      </c>
      <c r="E6" s="1" t="s">
        <v>21</v>
      </c>
      <c r="F6" s="1">
        <v>0</v>
      </c>
      <c r="G6" s="1">
        <v>0</v>
      </c>
      <c r="H6" s="1" t="b">
        <v>0</v>
      </c>
      <c r="I6" s="1">
        <v>0</v>
      </c>
      <c r="J6" s="1" t="b">
        <v>1</v>
      </c>
      <c r="K6" s="1" t="s">
        <v>64</v>
      </c>
      <c r="L6" s="1" t="s">
        <v>66</v>
      </c>
      <c r="M6" s="1" t="s">
        <v>25</v>
      </c>
      <c r="O6" s="1" t="s">
        <v>37</v>
      </c>
      <c r="P6" s="1">
        <v>1E-3</v>
      </c>
    </row>
    <row r="7" spans="1:17" s="1" customFormat="1" ht="15.5" customHeight="1" x14ac:dyDescent="0.35">
      <c r="B7" s="1" t="s">
        <v>129</v>
      </c>
      <c r="C7" s="1" t="s">
        <v>130</v>
      </c>
      <c r="D7" s="1" t="s">
        <v>20</v>
      </c>
      <c r="E7" s="1" t="s">
        <v>21</v>
      </c>
      <c r="F7" s="1">
        <v>0</v>
      </c>
      <c r="G7" s="1">
        <v>0</v>
      </c>
      <c r="H7" s="1" t="b">
        <v>0</v>
      </c>
      <c r="I7" s="1">
        <v>0</v>
      </c>
      <c r="J7" s="1" t="b">
        <v>1</v>
      </c>
      <c r="K7" s="1" t="s">
        <v>129</v>
      </c>
      <c r="L7" s="1" t="s">
        <v>130</v>
      </c>
      <c r="M7" s="1" t="s">
        <v>25</v>
      </c>
      <c r="O7" s="1" t="s">
        <v>37</v>
      </c>
      <c r="P7" s="1">
        <v>0.26417217685719901</v>
      </c>
    </row>
    <row r="8" spans="1:17" s="1" customFormat="1" x14ac:dyDescent="0.35">
      <c r="B8" s="1" t="s">
        <v>62</v>
      </c>
      <c r="C8" s="1" t="s">
        <v>63</v>
      </c>
      <c r="D8" s="1" t="s">
        <v>40</v>
      </c>
      <c r="E8" s="1" t="s">
        <v>41</v>
      </c>
      <c r="F8" s="1" t="b">
        <v>0</v>
      </c>
      <c r="G8" s="1">
        <v>0</v>
      </c>
      <c r="H8" s="1" t="b">
        <v>0</v>
      </c>
      <c r="I8" s="1">
        <v>0</v>
      </c>
      <c r="J8" s="1" t="b">
        <v>0</v>
      </c>
      <c r="K8" s="1" t="s">
        <v>62</v>
      </c>
      <c r="L8" s="1" t="s">
        <v>63</v>
      </c>
      <c r="M8" s="1" t="s">
        <v>25</v>
      </c>
      <c r="P8" s="1">
        <v>1</v>
      </c>
    </row>
    <row r="9" spans="1:17" s="1" customFormat="1" x14ac:dyDescent="0.35">
      <c r="B9" s="1" t="s">
        <v>78</v>
      </c>
      <c r="C9" s="1" t="s">
        <v>122</v>
      </c>
      <c r="D9" s="1" t="s">
        <v>26</v>
      </c>
      <c r="E9" s="1" t="s">
        <v>27</v>
      </c>
      <c r="F9" s="1">
        <v>0</v>
      </c>
      <c r="G9" s="1">
        <v>0</v>
      </c>
      <c r="H9" s="1" t="b">
        <v>0</v>
      </c>
      <c r="I9" s="1">
        <v>0</v>
      </c>
      <c r="J9" s="1" t="b">
        <v>1</v>
      </c>
      <c r="K9" s="1" t="s">
        <v>78</v>
      </c>
      <c r="L9" s="1" t="s">
        <v>122</v>
      </c>
      <c r="M9" s="1" t="s">
        <v>25</v>
      </c>
      <c r="O9" s="1" t="s">
        <v>79</v>
      </c>
      <c r="P9" s="1">
        <v>10000</v>
      </c>
    </row>
    <row r="10" spans="1:17" s="1" customFormat="1" ht="16.5" x14ac:dyDescent="0.35">
      <c r="B10" s="1" t="s">
        <v>81</v>
      </c>
      <c r="C10" s="1" t="s">
        <v>82</v>
      </c>
      <c r="D10" s="1" t="s">
        <v>85</v>
      </c>
      <c r="E10" s="1" t="s">
        <v>83</v>
      </c>
      <c r="F10" s="1">
        <v>0</v>
      </c>
      <c r="G10" s="1">
        <v>0</v>
      </c>
      <c r="H10" s="1" t="b">
        <v>0</v>
      </c>
      <c r="I10" s="1">
        <v>0</v>
      </c>
      <c r="J10" s="1" t="b">
        <v>1</v>
      </c>
      <c r="K10" s="1" t="s">
        <v>80</v>
      </c>
      <c r="L10" s="1" t="s">
        <v>82</v>
      </c>
      <c r="M10" s="1" t="s">
        <v>25</v>
      </c>
      <c r="P10" s="1">
        <v>1</v>
      </c>
    </row>
    <row r="11" spans="1:17" s="1" customFormat="1" ht="16.5" x14ac:dyDescent="0.35">
      <c r="B11" s="1" t="s">
        <v>84</v>
      </c>
      <c r="C11" s="1" t="s">
        <v>38</v>
      </c>
      <c r="D11" s="1" t="s">
        <v>85</v>
      </c>
      <c r="E11" s="1" t="s">
        <v>83</v>
      </c>
      <c r="F11" s="1">
        <v>0</v>
      </c>
      <c r="G11" s="1">
        <v>0</v>
      </c>
      <c r="H11" s="1" t="b">
        <v>0</v>
      </c>
      <c r="I11" s="1">
        <v>0</v>
      </c>
      <c r="J11" s="1" t="b">
        <v>1</v>
      </c>
      <c r="K11" s="1" t="s">
        <v>39</v>
      </c>
      <c r="L11" s="1" t="s">
        <v>38</v>
      </c>
      <c r="M11" s="1" t="s">
        <v>25</v>
      </c>
      <c r="P11" s="1">
        <v>1E-3</v>
      </c>
    </row>
    <row r="12" spans="1:17" s="1" customFormat="1" ht="16.5" x14ac:dyDescent="0.35">
      <c r="B12" s="1" t="s">
        <v>91</v>
      </c>
      <c r="C12" s="1" t="s">
        <v>121</v>
      </c>
      <c r="D12" s="1" t="s">
        <v>88</v>
      </c>
      <c r="E12" s="1" t="s">
        <v>86</v>
      </c>
      <c r="F12" s="1">
        <v>0</v>
      </c>
      <c r="G12" s="1">
        <v>0</v>
      </c>
      <c r="H12" s="1" t="b">
        <v>0</v>
      </c>
      <c r="I12" s="1">
        <v>0</v>
      </c>
      <c r="J12" s="1" t="b">
        <v>1</v>
      </c>
      <c r="K12" s="1" t="s">
        <v>91</v>
      </c>
      <c r="L12" s="1" t="s">
        <v>121</v>
      </c>
      <c r="M12" s="1" t="s">
        <v>25</v>
      </c>
      <c r="P12" s="1">
        <v>1</v>
      </c>
    </row>
    <row r="13" spans="1:17" s="1" customFormat="1" x14ac:dyDescent="0.35">
      <c r="B13" s="1" t="s">
        <v>90</v>
      </c>
      <c r="C13" s="1" t="s">
        <v>92</v>
      </c>
      <c r="D13" s="1" t="s">
        <v>89</v>
      </c>
      <c r="E13" s="1" t="s">
        <v>87</v>
      </c>
      <c r="F13" s="1">
        <v>0</v>
      </c>
      <c r="G13" s="1">
        <v>0</v>
      </c>
      <c r="H13" s="1" t="b">
        <v>0</v>
      </c>
      <c r="I13" s="1">
        <v>0</v>
      </c>
      <c r="J13" s="1" t="b">
        <v>1</v>
      </c>
      <c r="K13" s="1" t="s">
        <v>90</v>
      </c>
      <c r="L13" s="1" t="s">
        <v>92</v>
      </c>
      <c r="M13" s="1" t="s">
        <v>25</v>
      </c>
      <c r="P13" s="1">
        <v>1</v>
      </c>
    </row>
    <row r="14" spans="1:17" s="1" customFormat="1" x14ac:dyDescent="0.35">
      <c r="B14" s="1" t="s">
        <v>93</v>
      </c>
      <c r="C14" s="1" t="s">
        <v>94</v>
      </c>
      <c r="D14" s="1" t="s">
        <v>51</v>
      </c>
      <c r="E14" s="1" t="s">
        <v>52</v>
      </c>
      <c r="F14" s="1" t="s">
        <v>24</v>
      </c>
      <c r="G14" s="1">
        <v>0</v>
      </c>
      <c r="H14" s="1" t="b">
        <v>0</v>
      </c>
      <c r="I14" s="1">
        <v>0</v>
      </c>
      <c r="J14" s="1" t="b">
        <v>1</v>
      </c>
      <c r="K14" s="1" t="s">
        <v>93</v>
      </c>
      <c r="L14" s="1" t="s">
        <v>94</v>
      </c>
      <c r="M14" s="1" t="s">
        <v>25</v>
      </c>
      <c r="O14" s="1" t="s">
        <v>50</v>
      </c>
      <c r="P14" s="1">
        <f>0.0864</f>
        <v>8.6400000000000005E-2</v>
      </c>
    </row>
    <row r="15" spans="1:17" s="1" customFormat="1" x14ac:dyDescent="0.35">
      <c r="B15" s="1" t="s">
        <v>97</v>
      </c>
      <c r="C15" s="1" t="s">
        <v>98</v>
      </c>
      <c r="D15" s="1" t="s">
        <v>51</v>
      </c>
      <c r="E15" s="1" t="s">
        <v>52</v>
      </c>
      <c r="F15" s="1" t="s">
        <v>24</v>
      </c>
      <c r="G15" s="1">
        <v>0</v>
      </c>
      <c r="H15" s="1" t="b">
        <v>0</v>
      </c>
      <c r="I15" s="1">
        <v>0</v>
      </c>
      <c r="J15" s="1" t="b">
        <v>1</v>
      </c>
      <c r="K15" s="1" t="s">
        <v>97</v>
      </c>
      <c r="L15" s="1" t="s">
        <v>98</v>
      </c>
      <c r="M15" s="1" t="s">
        <v>25</v>
      </c>
      <c r="O15" s="1" t="s">
        <v>50</v>
      </c>
      <c r="P15" s="1">
        <f>0.024</f>
        <v>2.4E-2</v>
      </c>
    </row>
    <row r="16" spans="1:17" s="1" customFormat="1" x14ac:dyDescent="0.35">
      <c r="B16" s="1" t="s">
        <v>123</v>
      </c>
      <c r="C16" s="1" t="s">
        <v>124</v>
      </c>
      <c r="D16" s="1" t="s">
        <v>17</v>
      </c>
      <c r="E16" s="1" t="s">
        <v>18</v>
      </c>
      <c r="F16" s="1" t="s">
        <v>19</v>
      </c>
      <c r="G16" s="1">
        <v>0</v>
      </c>
      <c r="H16" s="1" t="b">
        <v>0</v>
      </c>
      <c r="I16" s="1">
        <v>0</v>
      </c>
      <c r="J16" s="1" t="b">
        <v>1</v>
      </c>
      <c r="K16" s="1" t="s">
        <v>123</v>
      </c>
      <c r="L16" s="1" t="s">
        <v>124</v>
      </c>
      <c r="M16" s="1" t="s">
        <v>25</v>
      </c>
      <c r="O16" s="1" t="s">
        <v>49</v>
      </c>
      <c r="P16" s="2">
        <v>1.0000000000000001E-9</v>
      </c>
    </row>
    <row r="17" spans="2:16" s="1" customFormat="1" x14ac:dyDescent="0.35">
      <c r="B17" s="1" t="s">
        <v>95</v>
      </c>
      <c r="C17" s="1" t="s">
        <v>96</v>
      </c>
      <c r="D17" s="1" t="s">
        <v>17</v>
      </c>
      <c r="E17" s="1" t="s">
        <v>18</v>
      </c>
      <c r="F17" s="1" t="s">
        <v>19</v>
      </c>
      <c r="G17" s="1">
        <v>0</v>
      </c>
      <c r="H17" s="1" t="b">
        <v>0</v>
      </c>
      <c r="I17" s="1">
        <v>0</v>
      </c>
      <c r="J17" s="1" t="b">
        <v>1</v>
      </c>
      <c r="K17" s="1" t="s">
        <v>95</v>
      </c>
      <c r="L17" s="1" t="s">
        <v>96</v>
      </c>
      <c r="M17" s="1" t="s">
        <v>25</v>
      </c>
      <c r="O17" s="1" t="s">
        <v>49</v>
      </c>
      <c r="P17" s="1">
        <v>1000000</v>
      </c>
    </row>
    <row r="18" spans="2:16" s="1" customFormat="1" x14ac:dyDescent="0.35">
      <c r="B18" s="1" t="s">
        <v>127</v>
      </c>
      <c r="C18" s="1" t="s">
        <v>128</v>
      </c>
      <c r="D18" s="1" t="s">
        <v>17</v>
      </c>
      <c r="E18" s="1" t="s">
        <v>18</v>
      </c>
      <c r="F18" s="1" t="s">
        <v>19</v>
      </c>
      <c r="G18" s="1">
        <v>0</v>
      </c>
      <c r="H18" s="1" t="b">
        <v>0</v>
      </c>
      <c r="I18" s="1">
        <v>0</v>
      </c>
      <c r="J18" s="1" t="b">
        <v>1</v>
      </c>
      <c r="K18" s="1" t="s">
        <v>127</v>
      </c>
      <c r="L18" s="1" t="s">
        <v>128</v>
      </c>
      <c r="M18" s="1" t="s">
        <v>25</v>
      </c>
      <c r="O18" s="1" t="s">
        <v>49</v>
      </c>
      <c r="P18" s="1">
        <f>907.185*1000000</f>
        <v>907185000</v>
      </c>
    </row>
    <row r="19" spans="2:16" s="1" customFormat="1" x14ac:dyDescent="0.35">
      <c r="B19" s="1" t="s">
        <v>99</v>
      </c>
      <c r="C19" s="1" t="s">
        <v>100</v>
      </c>
      <c r="D19" s="1" t="s">
        <v>29</v>
      </c>
      <c r="E19" s="1" t="s">
        <v>30</v>
      </c>
      <c r="F19" s="1" t="s">
        <v>19</v>
      </c>
      <c r="G19" s="1">
        <v>0</v>
      </c>
      <c r="H19" s="1" t="b">
        <v>0</v>
      </c>
      <c r="I19" s="1">
        <v>0</v>
      </c>
      <c r="J19" s="1" t="b">
        <v>1</v>
      </c>
      <c r="K19" s="1" t="s">
        <v>99</v>
      </c>
      <c r="L19" s="1" t="s">
        <v>100</v>
      </c>
      <c r="M19" s="1" t="s">
        <v>25</v>
      </c>
      <c r="O19" s="1" t="s">
        <v>28</v>
      </c>
      <c r="P19" s="2">
        <v>1000000</v>
      </c>
    </row>
    <row r="20" spans="2:16" s="1" customFormat="1" x14ac:dyDescent="0.35">
      <c r="B20" s="1" t="s">
        <v>119</v>
      </c>
      <c r="C20" s="1" t="s">
        <v>120</v>
      </c>
      <c r="D20" s="1" t="s">
        <v>22</v>
      </c>
      <c r="E20" s="1" t="s">
        <v>23</v>
      </c>
      <c r="F20" s="1" t="s">
        <v>19</v>
      </c>
      <c r="G20" s="1">
        <v>0</v>
      </c>
      <c r="H20" s="1" t="b">
        <v>0</v>
      </c>
      <c r="I20" s="1">
        <v>0</v>
      </c>
      <c r="J20" s="1" t="b">
        <v>1</v>
      </c>
      <c r="K20" s="1" t="s">
        <v>119</v>
      </c>
      <c r="L20" s="1" t="s">
        <v>120</v>
      </c>
      <c r="M20" s="1" t="s">
        <v>25</v>
      </c>
      <c r="O20" s="1" t="s">
        <v>45</v>
      </c>
      <c r="P20" s="2">
        <v>1.0000000000000001E-9</v>
      </c>
    </row>
    <row r="21" spans="2:16" s="1" customFormat="1" x14ac:dyDescent="0.35">
      <c r="B21" s="1" t="s">
        <v>101</v>
      </c>
      <c r="C21" s="1" t="s">
        <v>102</v>
      </c>
      <c r="D21" s="1" t="s">
        <v>22</v>
      </c>
      <c r="E21" s="1" t="s">
        <v>23</v>
      </c>
      <c r="F21" s="1" t="s">
        <v>19</v>
      </c>
      <c r="G21" s="1">
        <v>0</v>
      </c>
      <c r="H21" s="1" t="b">
        <v>0</v>
      </c>
      <c r="I21" s="1">
        <v>0</v>
      </c>
      <c r="J21" s="1" t="b">
        <v>1</v>
      </c>
      <c r="K21" s="1" t="s">
        <v>101</v>
      </c>
      <c r="L21" s="1" t="s">
        <v>102</v>
      </c>
      <c r="M21" s="1" t="s">
        <v>25</v>
      </c>
      <c r="O21" s="1" t="s">
        <v>45</v>
      </c>
      <c r="P21" s="1">
        <v>1000</v>
      </c>
    </row>
    <row r="22" spans="2:16" s="1" customFormat="1" x14ac:dyDescent="0.35">
      <c r="B22" s="1" t="s">
        <v>103</v>
      </c>
      <c r="C22" s="1" t="s">
        <v>104</v>
      </c>
      <c r="D22" s="1" t="s">
        <v>54</v>
      </c>
      <c r="E22" s="1" t="s">
        <v>55</v>
      </c>
      <c r="F22" s="1" t="s">
        <v>19</v>
      </c>
      <c r="G22" s="1">
        <v>0</v>
      </c>
      <c r="H22" s="1" t="b">
        <v>0</v>
      </c>
      <c r="I22" s="1">
        <v>0</v>
      </c>
      <c r="J22" s="1" t="b">
        <v>1</v>
      </c>
      <c r="K22" s="1" t="s">
        <v>103</v>
      </c>
      <c r="L22" s="1" t="s">
        <v>104</v>
      </c>
      <c r="M22" s="1" t="s">
        <v>25</v>
      </c>
      <c r="O22" s="1" t="s">
        <v>53</v>
      </c>
      <c r="P22" s="1">
        <f>1000/3600</f>
        <v>0.27777777777777779</v>
      </c>
    </row>
    <row r="23" spans="2:16" s="1" customFormat="1" x14ac:dyDescent="0.35">
      <c r="B23" s="1" t="s">
        <v>115</v>
      </c>
      <c r="C23" s="1" t="s">
        <v>117</v>
      </c>
      <c r="D23" s="1" t="s">
        <v>59</v>
      </c>
      <c r="E23" s="1" t="s">
        <v>60</v>
      </c>
      <c r="F23" s="1" t="s">
        <v>19</v>
      </c>
      <c r="G23" s="1">
        <v>0</v>
      </c>
      <c r="H23" s="1" t="s">
        <v>24</v>
      </c>
      <c r="I23" s="1">
        <v>0</v>
      </c>
      <c r="J23" s="1" t="b">
        <v>1</v>
      </c>
      <c r="K23" s="1" t="s">
        <v>118</v>
      </c>
      <c r="L23" s="1" t="s">
        <v>117</v>
      </c>
      <c r="M23" s="1" t="s">
        <v>25</v>
      </c>
      <c r="O23" s="1" t="s">
        <v>118</v>
      </c>
      <c r="P23" s="1">
        <f>1/60</f>
        <v>1.6666666666666666E-2</v>
      </c>
    </row>
    <row r="24" spans="2:16" s="1" customFormat="1" x14ac:dyDescent="0.35">
      <c r="B24" s="1" t="s">
        <v>114</v>
      </c>
      <c r="C24" s="1" t="s">
        <v>116</v>
      </c>
      <c r="D24" s="1" t="s">
        <v>59</v>
      </c>
      <c r="E24" s="1" t="s">
        <v>60</v>
      </c>
      <c r="F24" s="1" t="s">
        <v>19</v>
      </c>
      <c r="G24" s="1">
        <v>0</v>
      </c>
      <c r="H24" s="1" t="s">
        <v>24</v>
      </c>
      <c r="I24" s="1">
        <v>0</v>
      </c>
      <c r="J24" s="1" t="b">
        <v>1</v>
      </c>
      <c r="K24" s="1" t="s">
        <v>114</v>
      </c>
      <c r="L24" s="1" t="s">
        <v>116</v>
      </c>
      <c r="M24" s="1" t="s">
        <v>25</v>
      </c>
      <c r="O24" s="1" t="s">
        <v>61</v>
      </c>
      <c r="P24" s="1">
        <f>24*30</f>
        <v>720</v>
      </c>
    </row>
    <row r="25" spans="2:16" s="1" customFormat="1" ht="16.5" x14ac:dyDescent="0.35">
      <c r="B25" s="1" t="s">
        <v>106</v>
      </c>
      <c r="C25" s="1" t="s">
        <v>107</v>
      </c>
      <c r="D25" s="1" t="s">
        <v>31</v>
      </c>
      <c r="E25" s="1" t="s">
        <v>32</v>
      </c>
      <c r="F25" s="1" t="s">
        <v>24</v>
      </c>
      <c r="G25" s="1">
        <v>0</v>
      </c>
      <c r="H25" s="1" t="b">
        <v>0</v>
      </c>
      <c r="I25" s="1">
        <v>0</v>
      </c>
      <c r="J25" s="1" t="b">
        <v>1</v>
      </c>
      <c r="K25" s="1" t="s">
        <v>105</v>
      </c>
      <c r="L25" s="1" t="s">
        <v>107</v>
      </c>
      <c r="M25" s="1" t="s">
        <v>25</v>
      </c>
      <c r="O25" s="1" t="s">
        <v>33</v>
      </c>
      <c r="P25" s="1">
        <v>10</v>
      </c>
    </row>
    <row r="26" spans="2:16" s="1" customFormat="1" x14ac:dyDescent="0.35">
      <c r="B26" s="1" t="s">
        <v>108</v>
      </c>
      <c r="C26" s="1" t="s">
        <v>109</v>
      </c>
      <c r="D26" s="1" t="s">
        <v>34</v>
      </c>
      <c r="E26" s="1" t="s">
        <v>35</v>
      </c>
      <c r="F26" s="1" t="s">
        <v>19</v>
      </c>
      <c r="G26" s="1">
        <v>0</v>
      </c>
      <c r="H26" s="1" t="s">
        <v>24</v>
      </c>
      <c r="I26" s="1">
        <v>0</v>
      </c>
      <c r="J26" s="1" t="b">
        <v>1</v>
      </c>
      <c r="K26" s="1" t="s">
        <v>111</v>
      </c>
      <c r="L26" s="1" t="s">
        <v>109</v>
      </c>
      <c r="M26" s="1" t="s">
        <v>25</v>
      </c>
      <c r="O26" s="1" t="s">
        <v>36</v>
      </c>
      <c r="P26" s="1">
        <v>0.01</v>
      </c>
    </row>
    <row r="27" spans="2:16" s="1" customFormat="1" x14ac:dyDescent="0.35">
      <c r="B27" s="1" t="s">
        <v>110</v>
      </c>
      <c r="C27" s="1" t="s">
        <v>113</v>
      </c>
      <c r="D27" s="1" t="s">
        <v>34</v>
      </c>
      <c r="E27" s="1" t="s">
        <v>35</v>
      </c>
      <c r="F27" s="1" t="s">
        <v>19</v>
      </c>
      <c r="G27" s="1">
        <v>0</v>
      </c>
      <c r="H27" s="1" t="s">
        <v>24</v>
      </c>
      <c r="I27" s="1">
        <v>0</v>
      </c>
      <c r="J27" s="1" t="b">
        <v>1</v>
      </c>
      <c r="K27" s="1" t="s">
        <v>112</v>
      </c>
      <c r="L27" s="1" t="s">
        <v>113</v>
      </c>
      <c r="M27" s="1" t="s">
        <v>25</v>
      </c>
      <c r="O27" s="1" t="s">
        <v>36</v>
      </c>
      <c r="P27" s="1">
        <v>0.3</v>
      </c>
    </row>
    <row r="28" spans="2:16" s="1" customFormat="1" x14ac:dyDescent="0.35">
      <c r="B28" s="1" t="s">
        <v>126</v>
      </c>
      <c r="C28" s="1" t="s">
        <v>125</v>
      </c>
      <c r="D28" s="1" t="s">
        <v>42</v>
      </c>
      <c r="E28" s="1" t="s">
        <v>43</v>
      </c>
      <c r="F28" s="1" t="s">
        <v>24</v>
      </c>
      <c r="G28" s="1">
        <v>0</v>
      </c>
      <c r="H28" s="1" t="b">
        <v>0</v>
      </c>
      <c r="I28" s="1">
        <v>0</v>
      </c>
      <c r="J28" s="1" t="b">
        <v>1</v>
      </c>
      <c r="K28" s="1" t="s">
        <v>126</v>
      </c>
      <c r="L28" s="1" t="s">
        <v>125</v>
      </c>
      <c r="M28" s="1" t="s">
        <v>25</v>
      </c>
      <c r="O28" s="1" t="s">
        <v>44</v>
      </c>
      <c r="P28" s="2">
        <v>1000000</v>
      </c>
    </row>
    <row r="29" spans="2:16" s="1" customFormat="1" x14ac:dyDescent="0.35">
      <c r="B29" s="1" t="s">
        <v>131</v>
      </c>
      <c r="C29" s="1" t="s">
        <v>132</v>
      </c>
      <c r="D29" s="1" t="s">
        <v>57</v>
      </c>
      <c r="E29" s="1" t="s">
        <v>58</v>
      </c>
      <c r="F29" s="1" t="s">
        <v>19</v>
      </c>
      <c r="G29" s="1">
        <v>0</v>
      </c>
      <c r="H29" s="1" t="s">
        <v>24</v>
      </c>
      <c r="I29" s="1">
        <v>0</v>
      </c>
      <c r="J29" s="1" t="b">
        <v>1</v>
      </c>
      <c r="K29" s="1" t="s">
        <v>131</v>
      </c>
      <c r="L29" s="1" t="s">
        <v>132</v>
      </c>
      <c r="M29" s="1" t="s">
        <v>25</v>
      </c>
      <c r="O29" s="1" t="s">
        <v>56</v>
      </c>
      <c r="P29" s="1">
        <v>1000</v>
      </c>
    </row>
  </sheetData>
  <autoFilter ref="A1:Q29" xr:uid="{00000000-0001-0000-0000-000000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Bhandari, Sahil ENV:EX</cp:lastModifiedBy>
  <dcterms:created xsi:type="dcterms:W3CDTF">2025-05-16T00:28:47Z</dcterms:created>
  <dcterms:modified xsi:type="dcterms:W3CDTF">2025-06-25T22:18:37Z</dcterms:modified>
</cp:coreProperties>
</file>